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nyg\Desktop\DCT Reports\"/>
    </mc:Choice>
  </mc:AlternateContent>
  <xr:revisionPtr revIDLastSave="0" documentId="8_{B8FAC96B-F337-43AF-B315-E178E214030B}" xr6:coauthVersionLast="47" xr6:coauthVersionMax="47" xr10:uidLastSave="{00000000-0000-0000-0000-000000000000}"/>
  <bookViews>
    <workbookView xWindow="-110" yWindow="-110" windowWidth="38620" windowHeight="21220" xr2:uid="{8CD5CABE-60E7-40B0-8EBD-D62270933C7F}"/>
  </bookViews>
  <sheets>
    <sheet name="Quarterly performance repo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3" i="1" l="1"/>
  <c r="AE23" i="1" s="1"/>
  <c r="X23" i="1"/>
  <c r="Y23" i="1" s="1"/>
  <c r="R23" i="1"/>
  <c r="S23" i="1" s="1"/>
  <c r="L23" i="1"/>
  <c r="M23" i="1" s="1"/>
  <c r="AD22" i="1"/>
  <c r="AE22" i="1" s="1"/>
  <c r="X22" i="1"/>
  <c r="Y22" i="1" s="1"/>
  <c r="R22" i="1"/>
  <c r="S22" i="1" s="1"/>
  <c r="L22" i="1"/>
  <c r="M22" i="1" s="1"/>
  <c r="AD21" i="1"/>
  <c r="AE21" i="1" s="1"/>
  <c r="X21" i="1"/>
  <c r="Y21" i="1" s="1"/>
  <c r="R21" i="1"/>
  <c r="S21" i="1" s="1"/>
  <c r="L21" i="1"/>
  <c r="M21" i="1" s="1"/>
  <c r="AD20" i="1"/>
  <c r="AE20" i="1" s="1"/>
  <c r="X20" i="1"/>
  <c r="Y20" i="1" s="1"/>
  <c r="R20" i="1"/>
  <c r="S20" i="1" s="1"/>
  <c r="L20" i="1"/>
  <c r="M20" i="1" s="1"/>
  <c r="AD19" i="1"/>
  <c r="AE19" i="1" s="1"/>
  <c r="X19" i="1"/>
  <c r="Y19" i="1" s="1"/>
  <c r="R19" i="1"/>
  <c r="S19" i="1" s="1"/>
  <c r="L19" i="1"/>
  <c r="M19" i="1" s="1"/>
  <c r="AD18" i="1"/>
  <c r="AE18" i="1" s="1"/>
  <c r="X18" i="1"/>
  <c r="Y18" i="1" s="1"/>
  <c r="R18" i="1"/>
  <c r="S18" i="1" s="1"/>
  <c r="L18" i="1"/>
  <c r="M18" i="1" s="1"/>
  <c r="AD17" i="1"/>
  <c r="AE17" i="1" s="1"/>
  <c r="X17" i="1"/>
  <c r="Y17" i="1" s="1"/>
  <c r="R17" i="1"/>
  <c r="S17" i="1" s="1"/>
  <c r="L17" i="1"/>
  <c r="M17" i="1" s="1"/>
  <c r="AD16" i="1"/>
  <c r="AE16" i="1" s="1"/>
  <c r="X16" i="1"/>
  <c r="Y16" i="1" s="1"/>
  <c r="R16" i="1"/>
  <c r="S16" i="1" s="1"/>
  <c r="L16" i="1"/>
  <c r="M16" i="1" s="1"/>
  <c r="AD15" i="1"/>
  <c r="AE15" i="1" s="1"/>
  <c r="X15" i="1"/>
  <c r="Y15" i="1" s="1"/>
  <c r="R15" i="1"/>
  <c r="S15" i="1" s="1"/>
  <c r="L15" i="1"/>
  <c r="M15" i="1" s="1"/>
  <c r="AD14" i="1"/>
  <c r="AE14" i="1" s="1"/>
  <c r="X14" i="1"/>
  <c r="Y14" i="1" s="1"/>
  <c r="R14" i="1"/>
  <c r="S14" i="1" s="1"/>
  <c r="L14" i="1"/>
  <c r="M14" i="1" s="1"/>
  <c r="AD13" i="1"/>
  <c r="AE13" i="1" s="1"/>
  <c r="X13" i="1"/>
  <c r="Y13" i="1" s="1"/>
  <c r="R13" i="1"/>
  <c r="S13" i="1" s="1"/>
  <c r="L13" i="1"/>
  <c r="M13" i="1" s="1"/>
  <c r="AD12" i="1"/>
  <c r="AE12" i="1" s="1"/>
  <c r="X12" i="1"/>
  <c r="Y12" i="1" s="1"/>
  <c r="R12" i="1"/>
  <c r="S12" i="1" s="1"/>
  <c r="L12" i="1"/>
  <c r="M12" i="1" s="1"/>
  <c r="AD11" i="1"/>
  <c r="AE11" i="1" s="1"/>
  <c r="X11" i="1"/>
  <c r="Y11" i="1" s="1"/>
  <c r="R11" i="1"/>
  <c r="S11" i="1" s="1"/>
  <c r="L11" i="1"/>
  <c r="M11" i="1" s="1"/>
  <c r="AD10" i="1"/>
  <c r="AE10" i="1" s="1"/>
  <c r="X10" i="1"/>
  <c r="Y10" i="1" s="1"/>
  <c r="R10" i="1"/>
  <c r="S10" i="1" s="1"/>
  <c r="L10" i="1"/>
  <c r="M10" i="1" s="1"/>
  <c r="AD9" i="1"/>
  <c r="AE9" i="1" s="1"/>
  <c r="X9" i="1"/>
  <c r="Y9" i="1" s="1"/>
  <c r="R9" i="1"/>
  <c r="S9" i="1" s="1"/>
  <c r="L9" i="1"/>
  <c r="M9" i="1" s="1"/>
  <c r="AD8" i="1"/>
  <c r="AE8" i="1" s="1"/>
  <c r="X8" i="1"/>
  <c r="Y8" i="1" s="1"/>
  <c r="R8" i="1"/>
  <c r="S8" i="1" s="1"/>
  <c r="L8" i="1"/>
  <c r="M8" i="1" s="1"/>
  <c r="AD7" i="1"/>
  <c r="AE7" i="1" s="1"/>
  <c r="X7" i="1"/>
  <c r="Y7" i="1" s="1"/>
  <c r="R7" i="1"/>
  <c r="S7" i="1" s="1"/>
  <c r="L7" i="1"/>
  <c r="M7" i="1" s="1"/>
  <c r="AD6" i="1"/>
  <c r="AE6" i="1" s="1"/>
  <c r="X6" i="1"/>
  <c r="Y6" i="1" s="1"/>
  <c r="R6" i="1"/>
  <c r="S6" i="1" s="1"/>
  <c r="L6" i="1"/>
  <c r="M6" i="1" s="1"/>
</calcChain>
</file>

<file path=xl/sharedStrings.xml><?xml version="1.0" encoding="utf-8"?>
<sst xmlns="http://schemas.openxmlformats.org/spreadsheetml/2006/main" count="91" uniqueCount="60">
  <si>
    <t>Q1</t>
  </si>
  <si>
    <t>Q2</t>
  </si>
  <si>
    <t>Q3</t>
  </si>
  <si>
    <t>Q4</t>
  </si>
  <si>
    <t>Entity Code</t>
  </si>
  <si>
    <t>Entity Name</t>
  </si>
  <si>
    <t>Chapter</t>
  </si>
  <si>
    <t>F2 - Appropriation Code</t>
  </si>
  <si>
    <t>F2 - Appropriation Description</t>
  </si>
  <si>
    <t xml:space="preserve">2026 Approved Budget </t>
  </si>
  <si>
    <t>2026 Revised Budget Q1</t>
  </si>
  <si>
    <t>2026 Revised Budget Q2</t>
  </si>
  <si>
    <t>Approved Budget Cash flow_Q1</t>
  </si>
  <si>
    <t>Revised Budget Cash flow_Q1</t>
  </si>
  <si>
    <t>Actual_Q1</t>
  </si>
  <si>
    <t>Variance (wrt Revised Budget)_Q1</t>
  </si>
  <si>
    <t>Variance % (wrt Revised Budget)_Q1</t>
  </si>
  <si>
    <t>Reasons for Variance (wrt Revised Budget)_Q1</t>
  </si>
  <si>
    <t>Approved Budget Cash flow_Q2</t>
  </si>
  <si>
    <t>Revised Budget Cash flow_Q2</t>
  </si>
  <si>
    <t>Actual_Q2</t>
  </si>
  <si>
    <t>Variance (wrt Revised Budget)_Q2</t>
  </si>
  <si>
    <t>Variance % (wrt Revised Budget)_Q2</t>
  </si>
  <si>
    <t>Reasons for Variance (wrt Revised Budget)_Q2</t>
  </si>
  <si>
    <t>Approved Budget Cash flow_Q3</t>
  </si>
  <si>
    <t>Revised Budget Cash flow_Q3</t>
  </si>
  <si>
    <t>Actual_Q3</t>
  </si>
  <si>
    <t>Variance (wrt Revised Budget)_Q3</t>
  </si>
  <si>
    <t>Variance % (wrt Revised Budget)_Q3</t>
  </si>
  <si>
    <t>Reasons for Variance (wrt Revised Budget)_Q3</t>
  </si>
  <si>
    <t>Approved Budget Cash flow_Q4</t>
  </si>
  <si>
    <t>Revised Budget Cash flow_Q4</t>
  </si>
  <si>
    <t>Actual_Q4</t>
  </si>
  <si>
    <t>Variance (wrt Revised Budget)_Q4</t>
  </si>
  <si>
    <t>Variance % (wrt Revised Budget)_Q4</t>
  </si>
  <si>
    <t>Reasons for Variance (wrt Revised Budget)_Q4</t>
  </si>
  <si>
    <t>Remarks</t>
  </si>
  <si>
    <t>Department of Culture and Tourism - Abu Dhabi</t>
  </si>
  <si>
    <t>Chapter 1 - Manpower</t>
  </si>
  <si>
    <t>FA103-Manpower Expense</t>
  </si>
  <si>
    <t>Chapter 2 - Opex</t>
  </si>
  <si>
    <t>FA50723-Ultimate Fighting Championship (UFC)</t>
  </si>
  <si>
    <t>FA50729-NBA- Basket Ball Development</t>
  </si>
  <si>
    <t>FA50730-Culinary Fund</t>
  </si>
  <si>
    <t>FA104-Opex Expense</t>
  </si>
  <si>
    <t>FA1096-UAE Warriors</t>
  </si>
  <si>
    <t>FA1760-Fight Night.Event</t>
  </si>
  <si>
    <t>FA1931-Abu Dhabi Tourism Strategy</t>
  </si>
  <si>
    <t>FA1932-The Sphere</t>
  </si>
  <si>
    <t>FA2061:Drones show lease agreement</t>
  </si>
  <si>
    <t>FA2067:Arabic Digital Library</t>
  </si>
  <si>
    <t>FA2185: Freize Abu Dhabi</t>
  </si>
  <si>
    <t>Chapter 3 - Capex</t>
  </si>
  <si>
    <t>FA105-Capex Expense</t>
  </si>
  <si>
    <t>FA1439-art collectibles fund</t>
  </si>
  <si>
    <t>Chapter 4 - Subsidy</t>
  </si>
  <si>
    <t>FA2025:Bassam Freiha Foundation for Arts</t>
  </si>
  <si>
    <t>FA2066:Tourism Development Program</t>
  </si>
  <si>
    <t>Chapter 5 - Aids</t>
  </si>
  <si>
    <t>FA2026: Abu Dhabi Group for Culture &amp;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</si>
</sst>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i/>
      <sz val="11"/>
      <color rgb="FFEE0000"/>
      <name val="Aptos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wrapText="1"/>
    </xf>
    <xf numFmtId="0" fontId="5" fillId="2" borderId="1" xfId="0" applyFont="1" applyFill="1" applyBorder="1" applyAlignment="1">
      <alignment horizontal="centerContinuous" wrapText="1"/>
    </xf>
    <xf numFmtId="0" fontId="5" fillId="2" borderId="2" xfId="0" applyFont="1" applyFill="1" applyBorder="1" applyAlignment="1">
      <alignment horizontal="centerContinuous" wrapText="1"/>
    </xf>
    <xf numFmtId="0" fontId="5" fillId="2" borderId="3" xfId="0" applyFont="1" applyFill="1" applyBorder="1" applyAlignment="1">
      <alignment horizontal="centerContinuous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2" xfId="3" applyBorder="1" applyAlignment="1">
      <alignment horizontal="left" vertical="center" wrapText="1"/>
    </xf>
    <xf numFmtId="0" fontId="4" fillId="0" borderId="12" xfId="3" applyBorder="1" applyAlignment="1">
      <alignment horizontal="left" vertical="center"/>
    </xf>
    <xf numFmtId="164" fontId="0" fillId="0" borderId="12" xfId="1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0" borderId="17" xfId="1" applyNumberFormat="1" applyFont="1" applyBorder="1" applyAlignment="1">
      <alignment vertical="center" wrapText="1"/>
    </xf>
    <xf numFmtId="164" fontId="0" fillId="0" borderId="18" xfId="0" applyNumberFormat="1" applyBorder="1" applyAlignment="1">
      <alignment horizontal="center" vertical="center" wrapText="1"/>
    </xf>
    <xf numFmtId="0" fontId="7" fillId="0" borderId="17" xfId="1" applyNumberFormat="1" applyFont="1" applyBorder="1" applyAlignment="1">
      <alignment vertical="center"/>
    </xf>
    <xf numFmtId="164" fontId="0" fillId="0" borderId="0" xfId="0" applyNumberFormat="1" applyAlignment="1">
      <alignment wrapText="1"/>
    </xf>
  </cellXfs>
  <cellStyles count="4">
    <cellStyle name="Comma 2 2" xfId="1" xr:uid="{8E0874DD-D25F-4CE4-8DDA-F9024CC5D4EC}"/>
    <cellStyle name="Normal" xfId="0" builtinId="0"/>
    <cellStyle name="Normal 2" xfId="3" xr:uid="{CD746E12-83A0-4893-B4F2-3FE4AA192E7A}"/>
    <cellStyle name="Normal 4 2 6" xfId="2" xr:uid="{5F010F10-B03B-4A86-89AA-C8AC1E3DA949}"/>
  </cellStyles>
  <dxfs count="38"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top style="thin">
          <color theme="0" tint="-0.24994659260841701"/>
        </top>
      </border>
    </dxf>
    <dxf>
      <border>
        <bottom style="thin">
          <color theme="0" tint="-0.24994659260841701"/>
        </bottom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Invisible" pivot="0" table="0" count="0" xr9:uid="{9D75A05A-6DD6-4CD9-891D-1EFE594BCA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A20236/AppData/Roaming/OpenText/OTEdit/EC_ecm/c24497533/2026%20Expenses%20initial%20cashlow%20by%20appropriation%20code%20-%20monthly%20(New%20used%20as%20of%2010.4.2026).xlsx" TargetMode="External"/><Relationship Id="rId2" Type="http://schemas.openxmlformats.org/officeDocument/2006/relationships/externalLinkPath" Target="file:///C:\Users\AA20236\AppData\Roaming\OpenText\OTEdit\EC_ecm\c24497533\2026%20Expenses%20initial%20cashlow%20by%20appropriation%20code%20-%20monthly%20(New%20used%20as%20of%2010.4.2026).xlsx" TargetMode="External"/><Relationship Id="rId1" Type="http://schemas.openxmlformats.org/officeDocument/2006/relationships/externalLinkPath" Target="/Users/AA20236/AppData/Roaming/OpenText/OTEdit/EC_ecm/c24497533/2026%20Expenses%20initial%20cashlow%20by%20appropriation%20code%20-%20monthly%20(New%20used%20as%20of%2010.4.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shflow from DCT &amp; MSS"/>
      <sheetName val="Recon"/>
      <sheetName val="Operations (CH1-CH5) (2)"/>
      <sheetName val="Strategic Budget Details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8DE17-3172-4AD0-B125-21C91ACB7FE4}" name="QuarterlyPerformance_Report_2024" displayName="QuarterlyPerformance_Report_2024" ref="A5:AG22" totalsRowShown="0" headerRowDxfId="37" dataDxfId="36" headerRowBorderDxfId="34" tableBorderDxfId="35" totalsRowBorderDxfId="33">
  <tableColumns count="33">
    <tableColumn id="32" xr3:uid="{867BE89B-D86D-4740-AD1A-488B5E6E325D}" name="Entity Code" dataDxfId="32"/>
    <tableColumn id="31" xr3:uid="{C6A61BBE-C544-4778-8C2D-D4753AA92A19}" name="Entity Name" dataDxfId="31"/>
    <tableColumn id="1" xr3:uid="{D70840BF-BDC0-41DA-8481-89167A1AE509}" name="Chapter" dataDxfId="30" dataCellStyle="Normal 2"/>
    <tableColumn id="2" xr3:uid="{07F96A97-273E-4C4D-8A76-FAB93E3BCA06}" name="F2 - Appropriation Code" dataDxfId="29" dataCellStyle="Normal 2"/>
    <tableColumn id="3" xr3:uid="{08CF28C7-E4EA-4C78-B7FB-0BB6BA7F409C}" name="F2 - Appropriation Description" dataDxfId="28" dataCellStyle="Normal 2">
      <calculatedColumnFormula>VLOOKUP(QuarterlyPerformance_Report_2024[[#This Row],[F2 - Appropriation Code]],[1]Recon!$C:$D,2,0)</calculatedColumnFormula>
    </tableColumn>
    <tableColumn id="5" xr3:uid="{6A67D6D2-5416-4D16-B53D-43E75F5A0A45}" name="2026 Approved Budget " dataDxfId="27" dataCellStyle="Comma 2 2"/>
    <tableColumn id="6" xr3:uid="{20994E19-4E85-44CE-A4A0-FCF1A48AD6AE}" name="2026 Revised Budget Q1" dataDxfId="26"/>
    <tableColumn id="4" xr3:uid="{BE51C3AD-0011-48D2-A182-5E6915847FFA}" name="2026 Revised Budget Q2" dataDxfId="25"/>
    <tableColumn id="7" xr3:uid="{B1FC2E77-2D5B-4242-A124-83FB7CB936F8}" name="Approved Budget Cash flow_Q1" dataDxfId="24"/>
    <tableColumn id="8" xr3:uid="{B9FCFE96-D431-482A-9FB6-2267CCF3DDEB}" name="Revised Budget Cash flow_Q1" dataDxfId="23"/>
    <tableColumn id="9" xr3:uid="{63F3C7D7-A9E1-4B53-8501-6672DAB47021}" name="Actual_Q1" dataDxfId="22"/>
    <tableColumn id="10" xr3:uid="{F496BD0D-F8F9-4F4D-87A9-4F4369908B10}" name="Variance (wrt Revised Budget)_Q1" dataDxfId="21">
      <calculatedColumnFormula>K6-J6</calculatedColumnFormula>
    </tableColumn>
    <tableColumn id="11" xr3:uid="{8FF3B8DF-7EBB-4C57-87FD-572AB1398B33}" name="Variance % (wrt Revised Budget)_Q1" dataDxfId="20">
      <calculatedColumnFormula>IFERROR(L6/J6,0)</calculatedColumnFormula>
    </tableColumn>
    <tableColumn id="12" xr3:uid="{AD833075-BFD7-40ED-BEE0-FF61CCCFDABE}" name="Reasons for Variance (wrt Revised Budget)_Q1" dataDxfId="19"/>
    <tableColumn id="13" xr3:uid="{324A7616-23AC-453A-ADC8-7190835BE8C5}" name="Approved Budget Cash flow_Q2" dataDxfId="18"/>
    <tableColumn id="14" xr3:uid="{A6557795-8BA3-4E0F-AED0-D162302D4A22}" name="Revised Budget Cash flow_Q2" dataDxfId="17"/>
    <tableColumn id="15" xr3:uid="{BA82717A-FF58-4BCF-96E6-C0DF3A6CF852}" name="Actual_Q2" dataDxfId="16"/>
    <tableColumn id="16" xr3:uid="{74E59E87-8655-423A-BC3D-F877EB9D97F0}" name="Variance (wrt Revised Budget)_Q2" dataDxfId="15">
      <calculatedColumnFormula>Q6-P6</calculatedColumnFormula>
    </tableColumn>
    <tableColumn id="17" xr3:uid="{5044AD02-BFEA-4A4F-B5A0-9DBFEE296480}" name="Variance % (wrt Revised Budget)_Q2" dataDxfId="14">
      <calculatedColumnFormula>IFERROR(R6/P6,0)</calculatedColumnFormula>
    </tableColumn>
    <tableColumn id="18" xr3:uid="{AED0BF69-416B-4724-A38A-509A725561ED}" name="Reasons for Variance (wrt Revised Budget)_Q2" dataDxfId="13"/>
    <tableColumn id="19" xr3:uid="{D89FB49A-9ADC-476D-AC80-7C368C1B4F94}" name="Approved Budget Cash flow_Q3" dataDxfId="12"/>
    <tableColumn id="20" xr3:uid="{693A9B1E-8951-4443-86F2-71B61E93B8A7}" name="Revised Budget Cash flow_Q3" dataDxfId="11"/>
    <tableColumn id="21" xr3:uid="{72573A53-5270-464A-B229-4840206BA7B3}" name="Actual_Q3" dataDxfId="10"/>
    <tableColumn id="22" xr3:uid="{2DDD4684-BD7B-420C-A918-B7D0DF77789A}" name="Variance (wrt Revised Budget)_Q3" dataDxfId="9">
      <calculatedColumnFormula>W6-V6</calculatedColumnFormula>
    </tableColumn>
    <tableColumn id="23" xr3:uid="{8F2A856F-A6C8-4901-9A91-4A0267DE0791}" name="Variance % (wrt Revised Budget)_Q3" dataDxfId="8">
      <calculatedColumnFormula>IFERROR(X6/V6,0)</calculatedColumnFormula>
    </tableColumn>
    <tableColumn id="24" xr3:uid="{00D6A301-59CC-4A1D-A9EE-3143C9EE9771}" name="Reasons for Variance (wrt Revised Budget)_Q3" dataDxfId="7"/>
    <tableColumn id="25" xr3:uid="{5201FFA7-164B-4AC6-823E-60705D599D6E}" name="Approved Budget Cash flow_Q4" dataDxfId="6"/>
    <tableColumn id="26" xr3:uid="{E28D5DED-0CA6-4341-8B6F-97CD49812551}" name="Revised Budget Cash flow_Q4" dataDxfId="5"/>
    <tableColumn id="27" xr3:uid="{9F2D5EF0-729F-496C-B7BF-3EC5274A7836}" name="Actual_Q4" dataDxfId="4"/>
    <tableColumn id="28" xr3:uid="{43182C36-0F6E-4269-9B5E-AAF125ED5491}" name="Variance (wrt Revised Budget)_Q4" dataDxfId="3">
      <calculatedColumnFormula>AC6-AB6</calculatedColumnFormula>
    </tableColumn>
    <tableColumn id="29" xr3:uid="{3EA5AF79-14A9-425A-8D32-84493BB7C573}" name="Variance % (wrt Revised Budget)_Q4" dataDxfId="2">
      <calculatedColumnFormula>IFERROR(AD6/AB6,0)</calculatedColumnFormula>
    </tableColumn>
    <tableColumn id="30" xr3:uid="{BF5A75B8-2A8D-4F56-A66D-64BD58B0A87F}" name="Reasons for Variance (wrt Revised Budget)_Q4" dataDxfId="1"/>
    <tableColumn id="33" xr3:uid="{759457BB-3888-4DFC-93A2-C1E273EE6244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1A1C-B9D1-4C6F-81BA-2CE0435CFB7D}">
  <sheetPr>
    <tabColor rgb="FF92D050"/>
  </sheetPr>
  <dimension ref="A2:AG46"/>
  <sheetViews>
    <sheetView tabSelected="1" workbookViewId="0">
      <selection activeCell="I6" sqref="I6"/>
    </sheetView>
  </sheetViews>
  <sheetFormatPr defaultColWidth="10.453125" defaultRowHeight="14.5" x14ac:dyDescent="0.35"/>
  <cols>
    <col min="1" max="1" width="13.26953125" style="4" bestFit="1" customWidth="1"/>
    <col min="2" max="2" width="48.6328125" style="4" bestFit="1" customWidth="1"/>
    <col min="3" max="3" width="23" style="3" bestFit="1" customWidth="1"/>
    <col min="4" max="4" width="26.6328125" style="3" bestFit="1" customWidth="1"/>
    <col min="5" max="5" width="49.08984375" style="3" bestFit="1" customWidth="1"/>
    <col min="6" max="6" width="17.7265625" style="3" bestFit="1" customWidth="1"/>
    <col min="7" max="8" width="15.453125" style="3" bestFit="1" customWidth="1"/>
    <col min="9" max="9" width="14.7265625" style="3" bestFit="1" customWidth="1"/>
    <col min="10" max="10" width="18" style="3" bestFit="1" customWidth="1"/>
    <col min="11" max="11" width="12.08984375" style="3" bestFit="1" customWidth="1"/>
    <col min="12" max="12" width="16.08984375" style="3" bestFit="1" customWidth="1"/>
    <col min="13" max="13" width="18.54296875" style="3" customWidth="1"/>
    <col min="14" max="14" width="16.08984375" style="3" bestFit="1" customWidth="1"/>
    <col min="15" max="15" width="14.7265625" style="3" bestFit="1" customWidth="1"/>
    <col min="16" max="16" width="18" style="3" bestFit="1" customWidth="1"/>
    <col min="17" max="17" width="12.08984375" style="3" bestFit="1" customWidth="1"/>
    <col min="18" max="18" width="16.08984375" style="3" bestFit="1" customWidth="1"/>
    <col min="19" max="19" width="18.54296875" style="3" customWidth="1"/>
    <col min="20" max="20" width="16.08984375" style="3" bestFit="1" customWidth="1"/>
    <col min="21" max="21" width="14.7265625" style="3" bestFit="1" customWidth="1"/>
    <col min="22" max="22" width="18" style="3" bestFit="1" customWidth="1"/>
    <col min="23" max="23" width="12.08984375" style="3" bestFit="1" customWidth="1"/>
    <col min="24" max="24" width="16.08984375" style="3" bestFit="1" customWidth="1"/>
    <col min="25" max="25" width="18.54296875" style="3" customWidth="1"/>
    <col min="26" max="26" width="16.08984375" style="3" bestFit="1" customWidth="1"/>
    <col min="27" max="27" width="14.7265625" style="3" bestFit="1" customWidth="1"/>
    <col min="28" max="28" width="18" style="3" bestFit="1" customWidth="1"/>
    <col min="29" max="29" width="12.08984375" style="3" bestFit="1" customWidth="1"/>
    <col min="30" max="30" width="16.08984375" style="3" bestFit="1" customWidth="1"/>
    <col min="31" max="31" width="18.54296875" style="3" customWidth="1"/>
    <col min="32" max="32" width="16.08984375" style="3" bestFit="1" customWidth="1"/>
    <col min="33" max="33" width="48.453125" style="3" bestFit="1" customWidth="1"/>
    <col min="34" max="34" width="16.6328125" style="3" customWidth="1"/>
    <col min="35" max="38" width="17.54296875" style="3" customWidth="1"/>
    <col min="39" max="39" width="25.81640625" style="3" customWidth="1"/>
    <col min="40" max="16384" width="10.453125" style="3"/>
  </cols>
  <sheetData>
    <row r="2" spans="1:33" ht="15.5" x14ac:dyDescent="0.35">
      <c r="A2" s="1"/>
      <c r="B2" s="2"/>
    </row>
    <row r="3" spans="1:33" ht="15" thickBot="1" x14ac:dyDescent="0.4">
      <c r="F3" s="5"/>
      <c r="G3" s="5"/>
      <c r="H3" s="5"/>
      <c r="I3" s="5"/>
      <c r="J3" s="5"/>
      <c r="K3" s="5"/>
      <c r="L3" s="5"/>
      <c r="M3" s="5"/>
      <c r="O3" s="5"/>
      <c r="P3" s="5"/>
      <c r="Q3" s="5"/>
      <c r="R3" s="5"/>
      <c r="S3" s="5"/>
      <c r="U3" s="5"/>
      <c r="V3" s="5"/>
      <c r="W3" s="5"/>
      <c r="X3" s="5"/>
      <c r="Y3" s="5"/>
      <c r="AA3" s="5"/>
      <c r="AB3" s="5"/>
      <c r="AC3" s="5"/>
      <c r="AD3" s="5"/>
      <c r="AE3" s="5"/>
    </row>
    <row r="4" spans="1:33" ht="15.5" x14ac:dyDescent="0.35">
      <c r="I4" s="6" t="s">
        <v>0</v>
      </c>
      <c r="J4" s="7"/>
      <c r="K4" s="7"/>
      <c r="L4" s="7"/>
      <c r="M4" s="7"/>
      <c r="N4" s="8"/>
      <c r="O4" s="6" t="s">
        <v>1</v>
      </c>
      <c r="P4" s="7"/>
      <c r="Q4" s="7"/>
      <c r="R4" s="7"/>
      <c r="S4" s="7"/>
      <c r="T4" s="8"/>
      <c r="U4" s="6" t="s">
        <v>2</v>
      </c>
      <c r="V4" s="7"/>
      <c r="W4" s="7"/>
      <c r="X4" s="7"/>
      <c r="Y4" s="7"/>
      <c r="Z4" s="8"/>
      <c r="AA4" s="6" t="s">
        <v>3</v>
      </c>
      <c r="AB4" s="7"/>
      <c r="AC4" s="7"/>
      <c r="AD4" s="7"/>
      <c r="AE4" s="7"/>
      <c r="AF4" s="8"/>
    </row>
    <row r="5" spans="1:33" ht="74" x14ac:dyDescent="0.35">
      <c r="A5" s="9" t="s">
        <v>4</v>
      </c>
      <c r="B5" s="10" t="s">
        <v>5</v>
      </c>
      <c r="C5" s="10" t="s">
        <v>6</v>
      </c>
      <c r="D5" s="11" t="s">
        <v>7</v>
      </c>
      <c r="E5" s="11" t="s">
        <v>8</v>
      </c>
      <c r="F5" s="10" t="s">
        <v>9</v>
      </c>
      <c r="G5" s="12" t="s">
        <v>10</v>
      </c>
      <c r="H5" s="13" t="s">
        <v>11</v>
      </c>
      <c r="I5" s="14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5" t="s">
        <v>17</v>
      </c>
      <c r="O5" s="14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5" t="s">
        <v>23</v>
      </c>
      <c r="U5" s="14" t="s">
        <v>24</v>
      </c>
      <c r="V5" s="10" t="s">
        <v>25</v>
      </c>
      <c r="W5" s="10" t="s">
        <v>26</v>
      </c>
      <c r="X5" s="10" t="s">
        <v>27</v>
      </c>
      <c r="Y5" s="10" t="s">
        <v>28</v>
      </c>
      <c r="Z5" s="15" t="s">
        <v>29</v>
      </c>
      <c r="AA5" s="14" t="s">
        <v>30</v>
      </c>
      <c r="AB5" s="10" t="s">
        <v>31</v>
      </c>
      <c r="AC5" s="10" t="s">
        <v>32</v>
      </c>
      <c r="AD5" s="10" t="s">
        <v>33</v>
      </c>
      <c r="AE5" s="10" t="s">
        <v>34</v>
      </c>
      <c r="AF5" s="15" t="s">
        <v>35</v>
      </c>
      <c r="AG5" s="10" t="s">
        <v>36</v>
      </c>
    </row>
    <row r="6" spans="1:33" ht="15.5" x14ac:dyDescent="0.35">
      <c r="A6" s="16">
        <v>451</v>
      </c>
      <c r="B6" s="17" t="s">
        <v>37</v>
      </c>
      <c r="C6" s="18" t="s">
        <v>38</v>
      </c>
      <c r="D6" s="18">
        <v>100103</v>
      </c>
      <c r="E6" s="19" t="s">
        <v>39</v>
      </c>
      <c r="F6" s="20"/>
      <c r="G6" s="21"/>
      <c r="H6" s="22"/>
      <c r="I6" s="23"/>
      <c r="J6" s="24"/>
      <c r="K6" s="24"/>
      <c r="L6" s="24">
        <f>K6-J6</f>
        <v>0</v>
      </c>
      <c r="M6" s="24">
        <f t="shared" ref="M6:M23" si="0">IFERROR(L6/J6,0)</f>
        <v>0</v>
      </c>
      <c r="N6" s="25"/>
      <c r="O6" s="23"/>
      <c r="P6" s="24"/>
      <c r="Q6" s="24"/>
      <c r="R6" s="24">
        <f>Q6-P6</f>
        <v>0</v>
      </c>
      <c r="S6" s="24">
        <f t="shared" ref="S6:S23" si="1">IFERROR(R6/P6,0)</f>
        <v>0</v>
      </c>
      <c r="T6" s="25"/>
      <c r="U6" s="23"/>
      <c r="V6" s="24"/>
      <c r="W6" s="24"/>
      <c r="X6" s="24">
        <f>W6-V6</f>
        <v>0</v>
      </c>
      <c r="Y6" s="24">
        <f t="shared" ref="Y6:Y23" si="2">IFERROR(X6/V6,0)</f>
        <v>0</v>
      </c>
      <c r="Z6" s="25"/>
      <c r="AA6" s="23"/>
      <c r="AB6" s="24"/>
      <c r="AC6" s="24"/>
      <c r="AD6" s="24">
        <f>AC6-AB6</f>
        <v>0</v>
      </c>
      <c r="AE6" s="24">
        <f t="shared" ref="AE6:AE23" si="3">IFERROR(AD6/AB6,0)</f>
        <v>0</v>
      </c>
      <c r="AF6" s="25"/>
      <c r="AG6" s="24"/>
    </row>
    <row r="7" spans="1:33" ht="15.5" x14ac:dyDescent="0.35">
      <c r="A7" s="16">
        <v>451</v>
      </c>
      <c r="B7" s="17" t="s">
        <v>37</v>
      </c>
      <c r="C7" s="18" t="s">
        <v>40</v>
      </c>
      <c r="D7" s="18">
        <v>50723</v>
      </c>
      <c r="E7" s="19" t="s">
        <v>41</v>
      </c>
      <c r="F7" s="20"/>
      <c r="G7" s="21"/>
      <c r="H7" s="22"/>
      <c r="I7" s="23"/>
      <c r="J7" s="24"/>
      <c r="K7" s="24"/>
      <c r="L7" s="24">
        <f t="shared" ref="L7:L23" si="4">K7-J7</f>
        <v>0</v>
      </c>
      <c r="M7" s="24">
        <f t="shared" si="0"/>
        <v>0</v>
      </c>
      <c r="N7" s="25"/>
      <c r="O7" s="23"/>
      <c r="P7" s="24"/>
      <c r="Q7" s="24"/>
      <c r="R7" s="24">
        <f t="shared" ref="R7:R23" si="5">Q7-P7</f>
        <v>0</v>
      </c>
      <c r="S7" s="24">
        <f t="shared" si="1"/>
        <v>0</v>
      </c>
      <c r="T7" s="25"/>
      <c r="U7" s="23"/>
      <c r="V7" s="24"/>
      <c r="W7" s="24"/>
      <c r="X7" s="24">
        <f t="shared" ref="X7:X23" si="6">W7-V7</f>
        <v>0</v>
      </c>
      <c r="Y7" s="24">
        <f t="shared" si="2"/>
        <v>0</v>
      </c>
      <c r="Z7" s="25"/>
      <c r="AA7" s="23"/>
      <c r="AB7" s="24"/>
      <c r="AC7" s="24"/>
      <c r="AD7" s="24">
        <f t="shared" ref="AD7:AD23" si="7">AC7-AB7</f>
        <v>0</v>
      </c>
      <c r="AE7" s="24">
        <f t="shared" si="3"/>
        <v>0</v>
      </c>
      <c r="AF7" s="25"/>
      <c r="AG7" s="24"/>
    </row>
    <row r="8" spans="1:33" ht="15.5" x14ac:dyDescent="0.35">
      <c r="A8" s="16">
        <v>451</v>
      </c>
      <c r="B8" s="17" t="s">
        <v>37</v>
      </c>
      <c r="C8" s="18" t="s">
        <v>40</v>
      </c>
      <c r="D8" s="18">
        <v>50729</v>
      </c>
      <c r="E8" s="19" t="s">
        <v>42</v>
      </c>
      <c r="F8" s="20"/>
      <c r="G8" s="21"/>
      <c r="H8" s="22"/>
      <c r="I8" s="23"/>
      <c r="J8" s="24"/>
      <c r="K8" s="24"/>
      <c r="L8" s="24">
        <f t="shared" si="4"/>
        <v>0</v>
      </c>
      <c r="M8" s="24">
        <f t="shared" si="0"/>
        <v>0</v>
      </c>
      <c r="N8" s="25"/>
      <c r="O8" s="23"/>
      <c r="P8" s="24"/>
      <c r="Q8" s="24"/>
      <c r="R8" s="24">
        <f t="shared" si="5"/>
        <v>0</v>
      </c>
      <c r="S8" s="24">
        <f t="shared" si="1"/>
        <v>0</v>
      </c>
      <c r="T8" s="25"/>
      <c r="U8" s="23"/>
      <c r="V8" s="24"/>
      <c r="W8" s="24"/>
      <c r="X8" s="24">
        <f t="shared" si="6"/>
        <v>0</v>
      </c>
      <c r="Y8" s="24">
        <f t="shared" si="2"/>
        <v>0</v>
      </c>
      <c r="Z8" s="25"/>
      <c r="AA8" s="23"/>
      <c r="AB8" s="24"/>
      <c r="AC8" s="24"/>
      <c r="AD8" s="24">
        <f t="shared" si="7"/>
        <v>0</v>
      </c>
      <c r="AE8" s="24">
        <f t="shared" si="3"/>
        <v>0</v>
      </c>
      <c r="AF8" s="25"/>
      <c r="AG8" s="24"/>
    </row>
    <row r="9" spans="1:33" ht="15.5" x14ac:dyDescent="0.35">
      <c r="A9" s="16">
        <v>451</v>
      </c>
      <c r="B9" s="17" t="s">
        <v>37</v>
      </c>
      <c r="C9" s="18" t="s">
        <v>40</v>
      </c>
      <c r="D9" s="18">
        <v>50730</v>
      </c>
      <c r="E9" s="19" t="s">
        <v>43</v>
      </c>
      <c r="F9" s="20"/>
      <c r="G9" s="21"/>
      <c r="H9" s="22"/>
      <c r="I9" s="23"/>
      <c r="J9" s="24"/>
      <c r="K9" s="24"/>
      <c r="L9" s="24">
        <f t="shared" si="4"/>
        <v>0</v>
      </c>
      <c r="M9" s="24">
        <f t="shared" si="0"/>
        <v>0</v>
      </c>
      <c r="N9" s="25"/>
      <c r="O9" s="23"/>
      <c r="P9" s="24"/>
      <c r="Q9" s="24"/>
      <c r="R9" s="24">
        <f t="shared" si="5"/>
        <v>0</v>
      </c>
      <c r="S9" s="24">
        <f t="shared" si="1"/>
        <v>0</v>
      </c>
      <c r="T9" s="25"/>
      <c r="U9" s="23"/>
      <c r="V9" s="24"/>
      <c r="W9" s="24"/>
      <c r="X9" s="24">
        <f t="shared" si="6"/>
        <v>0</v>
      </c>
      <c r="Y9" s="24">
        <f t="shared" si="2"/>
        <v>0</v>
      </c>
      <c r="Z9" s="25"/>
      <c r="AA9" s="23"/>
      <c r="AB9" s="24"/>
      <c r="AC9" s="24"/>
      <c r="AD9" s="24">
        <f t="shared" si="7"/>
        <v>0</v>
      </c>
      <c r="AE9" s="24">
        <f t="shared" si="3"/>
        <v>0</v>
      </c>
      <c r="AF9" s="25"/>
      <c r="AG9" s="24"/>
    </row>
    <row r="10" spans="1:33" ht="15.5" x14ac:dyDescent="0.35">
      <c r="A10" s="16">
        <v>451</v>
      </c>
      <c r="B10" s="17" t="s">
        <v>37</v>
      </c>
      <c r="C10" s="18" t="s">
        <v>40</v>
      </c>
      <c r="D10" s="18">
        <v>200104</v>
      </c>
      <c r="E10" s="19" t="s">
        <v>44</v>
      </c>
      <c r="F10" s="20"/>
      <c r="G10" s="21"/>
      <c r="H10" s="22"/>
      <c r="I10" s="23"/>
      <c r="J10" s="24"/>
      <c r="K10" s="24"/>
      <c r="L10" s="24">
        <f t="shared" si="4"/>
        <v>0</v>
      </c>
      <c r="M10" s="24">
        <f t="shared" si="0"/>
        <v>0</v>
      </c>
      <c r="N10" s="25"/>
      <c r="O10" s="23"/>
      <c r="P10" s="24"/>
      <c r="Q10" s="24"/>
      <c r="R10" s="24">
        <f t="shared" si="5"/>
        <v>0</v>
      </c>
      <c r="S10" s="24">
        <f t="shared" si="1"/>
        <v>0</v>
      </c>
      <c r="T10" s="25"/>
      <c r="U10" s="23"/>
      <c r="V10" s="24"/>
      <c r="W10" s="24"/>
      <c r="X10" s="24">
        <f t="shared" si="6"/>
        <v>0</v>
      </c>
      <c r="Y10" s="24">
        <f t="shared" si="2"/>
        <v>0</v>
      </c>
      <c r="Z10" s="25"/>
      <c r="AA10" s="23"/>
      <c r="AB10" s="24"/>
      <c r="AC10" s="24"/>
      <c r="AD10" s="24">
        <f t="shared" si="7"/>
        <v>0</v>
      </c>
      <c r="AE10" s="24">
        <f t="shared" si="3"/>
        <v>0</v>
      </c>
      <c r="AF10" s="25"/>
      <c r="AG10" s="24"/>
    </row>
    <row r="11" spans="1:33" ht="15.5" x14ac:dyDescent="0.35">
      <c r="A11" s="16">
        <v>451</v>
      </c>
      <c r="B11" s="17" t="s">
        <v>37</v>
      </c>
      <c r="C11" s="18" t="s">
        <v>40</v>
      </c>
      <c r="D11" s="18">
        <v>201096</v>
      </c>
      <c r="E11" s="19" t="s">
        <v>45</v>
      </c>
      <c r="F11" s="20"/>
      <c r="G11" s="21"/>
      <c r="H11" s="22"/>
      <c r="I11" s="23"/>
      <c r="J11" s="24"/>
      <c r="K11" s="24"/>
      <c r="L11" s="24">
        <f t="shared" si="4"/>
        <v>0</v>
      </c>
      <c r="M11" s="24">
        <f t="shared" si="0"/>
        <v>0</v>
      </c>
      <c r="N11" s="25"/>
      <c r="O11" s="23"/>
      <c r="P11" s="24"/>
      <c r="Q11" s="24"/>
      <c r="R11" s="24">
        <f t="shared" si="5"/>
        <v>0</v>
      </c>
      <c r="S11" s="24">
        <f t="shared" si="1"/>
        <v>0</v>
      </c>
      <c r="T11" s="25"/>
      <c r="U11" s="23"/>
      <c r="V11" s="24"/>
      <c r="W11" s="24"/>
      <c r="X11" s="24">
        <f t="shared" si="6"/>
        <v>0</v>
      </c>
      <c r="Y11" s="24">
        <f t="shared" si="2"/>
        <v>0</v>
      </c>
      <c r="Z11" s="25"/>
      <c r="AA11" s="23"/>
      <c r="AB11" s="24"/>
      <c r="AC11" s="24"/>
      <c r="AD11" s="24">
        <f t="shared" si="7"/>
        <v>0</v>
      </c>
      <c r="AE11" s="24">
        <f t="shared" si="3"/>
        <v>0</v>
      </c>
      <c r="AF11" s="25"/>
      <c r="AG11" s="24"/>
    </row>
    <row r="12" spans="1:33" ht="15.5" x14ac:dyDescent="0.35">
      <c r="A12" s="16">
        <v>451</v>
      </c>
      <c r="B12" s="17" t="s">
        <v>37</v>
      </c>
      <c r="C12" s="18" t="s">
        <v>40</v>
      </c>
      <c r="D12" s="18">
        <v>201760</v>
      </c>
      <c r="E12" s="19" t="s">
        <v>46</v>
      </c>
      <c r="F12" s="20"/>
      <c r="G12" s="21"/>
      <c r="H12" s="22"/>
      <c r="I12" s="23"/>
      <c r="J12" s="24"/>
      <c r="K12" s="24"/>
      <c r="L12" s="24">
        <f t="shared" si="4"/>
        <v>0</v>
      </c>
      <c r="M12" s="24">
        <f t="shared" si="0"/>
        <v>0</v>
      </c>
      <c r="N12" s="25"/>
      <c r="O12" s="23"/>
      <c r="P12" s="24"/>
      <c r="Q12" s="24"/>
      <c r="R12" s="24">
        <f t="shared" si="5"/>
        <v>0</v>
      </c>
      <c r="S12" s="24">
        <f t="shared" si="1"/>
        <v>0</v>
      </c>
      <c r="T12" s="25"/>
      <c r="U12" s="23"/>
      <c r="V12" s="24"/>
      <c r="W12" s="24"/>
      <c r="X12" s="24">
        <f t="shared" si="6"/>
        <v>0</v>
      </c>
      <c r="Y12" s="24">
        <f t="shared" si="2"/>
        <v>0</v>
      </c>
      <c r="Z12" s="25"/>
      <c r="AA12" s="23"/>
      <c r="AB12" s="24"/>
      <c r="AC12" s="24"/>
      <c r="AD12" s="24">
        <f t="shared" si="7"/>
        <v>0</v>
      </c>
      <c r="AE12" s="24">
        <f t="shared" si="3"/>
        <v>0</v>
      </c>
      <c r="AF12" s="25"/>
      <c r="AG12" s="24"/>
    </row>
    <row r="13" spans="1:33" ht="15.5" x14ac:dyDescent="0.35">
      <c r="A13" s="16">
        <v>451</v>
      </c>
      <c r="B13" s="17" t="s">
        <v>37</v>
      </c>
      <c r="C13" s="18" t="s">
        <v>40</v>
      </c>
      <c r="D13" s="18">
        <v>201931</v>
      </c>
      <c r="E13" s="19" t="s">
        <v>47</v>
      </c>
      <c r="F13" s="20"/>
      <c r="G13" s="21"/>
      <c r="H13" s="22"/>
      <c r="I13" s="23"/>
      <c r="J13" s="24"/>
      <c r="K13" s="24"/>
      <c r="L13" s="24">
        <f t="shared" si="4"/>
        <v>0</v>
      </c>
      <c r="M13" s="24">
        <f t="shared" si="0"/>
        <v>0</v>
      </c>
      <c r="N13" s="25"/>
      <c r="O13" s="23"/>
      <c r="P13" s="24"/>
      <c r="Q13" s="24"/>
      <c r="R13" s="24">
        <f t="shared" si="5"/>
        <v>0</v>
      </c>
      <c r="S13" s="24">
        <f t="shared" si="1"/>
        <v>0</v>
      </c>
      <c r="T13" s="25"/>
      <c r="U13" s="23"/>
      <c r="V13" s="24"/>
      <c r="W13" s="24"/>
      <c r="X13" s="24">
        <f t="shared" si="6"/>
        <v>0</v>
      </c>
      <c r="Y13" s="24">
        <f t="shared" si="2"/>
        <v>0</v>
      </c>
      <c r="Z13" s="25"/>
      <c r="AA13" s="23"/>
      <c r="AB13" s="24"/>
      <c r="AC13" s="24"/>
      <c r="AD13" s="24">
        <f t="shared" si="7"/>
        <v>0</v>
      </c>
      <c r="AE13" s="24">
        <f t="shared" si="3"/>
        <v>0</v>
      </c>
      <c r="AF13" s="25"/>
      <c r="AG13" s="24"/>
    </row>
    <row r="14" spans="1:33" ht="15.5" x14ac:dyDescent="0.35">
      <c r="A14" s="16">
        <v>451</v>
      </c>
      <c r="B14" s="17" t="s">
        <v>37</v>
      </c>
      <c r="C14" s="18" t="s">
        <v>40</v>
      </c>
      <c r="D14" s="18">
        <v>201932</v>
      </c>
      <c r="E14" s="19" t="s">
        <v>48</v>
      </c>
      <c r="F14" s="20"/>
      <c r="G14" s="21"/>
      <c r="H14" s="22"/>
      <c r="I14" s="23"/>
      <c r="J14" s="24"/>
      <c r="K14" s="24"/>
      <c r="L14" s="24">
        <f t="shared" si="4"/>
        <v>0</v>
      </c>
      <c r="M14" s="24">
        <f t="shared" si="0"/>
        <v>0</v>
      </c>
      <c r="N14" s="25"/>
      <c r="O14" s="23"/>
      <c r="P14" s="24"/>
      <c r="Q14" s="24"/>
      <c r="R14" s="24">
        <f t="shared" si="5"/>
        <v>0</v>
      </c>
      <c r="S14" s="24">
        <f t="shared" si="1"/>
        <v>0</v>
      </c>
      <c r="T14" s="25"/>
      <c r="U14" s="23"/>
      <c r="V14" s="24"/>
      <c r="W14" s="24"/>
      <c r="X14" s="24">
        <f t="shared" si="6"/>
        <v>0</v>
      </c>
      <c r="Y14" s="24">
        <f t="shared" si="2"/>
        <v>0</v>
      </c>
      <c r="Z14" s="25"/>
      <c r="AA14" s="23"/>
      <c r="AB14" s="24"/>
      <c r="AC14" s="24"/>
      <c r="AD14" s="24">
        <f t="shared" si="7"/>
        <v>0</v>
      </c>
      <c r="AE14" s="24">
        <f t="shared" si="3"/>
        <v>0</v>
      </c>
      <c r="AF14" s="25"/>
      <c r="AG14" s="24"/>
    </row>
    <row r="15" spans="1:33" ht="15.5" x14ac:dyDescent="0.35">
      <c r="A15" s="16">
        <v>451</v>
      </c>
      <c r="B15" s="17" t="s">
        <v>37</v>
      </c>
      <c r="C15" s="18" t="s">
        <v>40</v>
      </c>
      <c r="D15" s="18">
        <v>202061</v>
      </c>
      <c r="E15" s="19" t="s">
        <v>49</v>
      </c>
      <c r="F15" s="20"/>
      <c r="G15" s="21"/>
      <c r="H15" s="22"/>
      <c r="I15" s="23"/>
      <c r="J15" s="24"/>
      <c r="K15" s="24"/>
      <c r="L15" s="24">
        <f t="shared" si="4"/>
        <v>0</v>
      </c>
      <c r="M15" s="24">
        <f t="shared" si="0"/>
        <v>0</v>
      </c>
      <c r="N15" s="25"/>
      <c r="O15" s="23"/>
      <c r="P15" s="24"/>
      <c r="Q15" s="24"/>
      <c r="R15" s="24">
        <f t="shared" si="5"/>
        <v>0</v>
      </c>
      <c r="S15" s="24">
        <f t="shared" si="1"/>
        <v>0</v>
      </c>
      <c r="T15" s="25"/>
      <c r="U15" s="23"/>
      <c r="V15" s="24"/>
      <c r="W15" s="24"/>
      <c r="X15" s="24">
        <f t="shared" si="6"/>
        <v>0</v>
      </c>
      <c r="Y15" s="24">
        <f t="shared" si="2"/>
        <v>0</v>
      </c>
      <c r="Z15" s="25"/>
      <c r="AA15" s="23"/>
      <c r="AB15" s="24"/>
      <c r="AC15" s="24"/>
      <c r="AD15" s="24">
        <f t="shared" si="7"/>
        <v>0</v>
      </c>
      <c r="AE15" s="24">
        <f t="shared" si="3"/>
        <v>0</v>
      </c>
      <c r="AF15" s="25"/>
      <c r="AG15" s="24"/>
    </row>
    <row r="16" spans="1:33" ht="15.5" x14ac:dyDescent="0.35">
      <c r="A16" s="16">
        <v>451</v>
      </c>
      <c r="B16" s="17" t="s">
        <v>37</v>
      </c>
      <c r="C16" s="18" t="s">
        <v>40</v>
      </c>
      <c r="D16" s="18">
        <v>202067</v>
      </c>
      <c r="E16" s="19" t="s">
        <v>50</v>
      </c>
      <c r="F16" s="20"/>
      <c r="G16" s="21"/>
      <c r="H16" s="22"/>
      <c r="I16" s="23"/>
      <c r="J16" s="24"/>
      <c r="K16" s="24"/>
      <c r="L16" s="24">
        <f t="shared" si="4"/>
        <v>0</v>
      </c>
      <c r="M16" s="24">
        <f t="shared" si="0"/>
        <v>0</v>
      </c>
      <c r="N16" s="25"/>
      <c r="O16" s="23"/>
      <c r="P16" s="24"/>
      <c r="Q16" s="24"/>
      <c r="R16" s="24">
        <f t="shared" si="5"/>
        <v>0</v>
      </c>
      <c r="S16" s="24">
        <f t="shared" si="1"/>
        <v>0</v>
      </c>
      <c r="T16" s="25"/>
      <c r="U16" s="23"/>
      <c r="V16" s="24"/>
      <c r="W16" s="24"/>
      <c r="X16" s="24">
        <f t="shared" si="6"/>
        <v>0</v>
      </c>
      <c r="Y16" s="24">
        <f t="shared" si="2"/>
        <v>0</v>
      </c>
      <c r="Z16" s="25"/>
      <c r="AA16" s="23"/>
      <c r="AB16" s="24"/>
      <c r="AC16" s="24"/>
      <c r="AD16" s="24">
        <f t="shared" si="7"/>
        <v>0</v>
      </c>
      <c r="AE16" s="24">
        <f t="shared" si="3"/>
        <v>0</v>
      </c>
      <c r="AF16" s="25"/>
      <c r="AG16" s="24"/>
    </row>
    <row r="17" spans="1:33" ht="15.5" x14ac:dyDescent="0.35">
      <c r="A17" s="16">
        <v>451</v>
      </c>
      <c r="B17" s="17" t="s">
        <v>37</v>
      </c>
      <c r="C17" s="18" t="s">
        <v>40</v>
      </c>
      <c r="D17" s="18">
        <v>202185</v>
      </c>
      <c r="E17" s="19" t="s">
        <v>51</v>
      </c>
      <c r="F17" s="20"/>
      <c r="G17" s="21"/>
      <c r="H17" s="22"/>
      <c r="I17" s="23"/>
      <c r="J17" s="24"/>
      <c r="K17" s="24"/>
      <c r="L17" s="24">
        <f>K17-J17</f>
        <v>0</v>
      </c>
      <c r="M17" s="24">
        <f>IFERROR(L17/J17,0)</f>
        <v>0</v>
      </c>
      <c r="N17" s="25"/>
      <c r="O17" s="23"/>
      <c r="P17" s="24"/>
      <c r="Q17" s="24"/>
      <c r="R17" s="24">
        <f>Q17-P17</f>
        <v>0</v>
      </c>
      <c r="S17" s="24">
        <f>IFERROR(R17/P17,0)</f>
        <v>0</v>
      </c>
      <c r="T17" s="25"/>
      <c r="U17" s="23"/>
      <c r="V17" s="24"/>
      <c r="W17" s="24"/>
      <c r="X17" s="24">
        <f>W17-V17</f>
        <v>0</v>
      </c>
      <c r="Y17" s="24">
        <f>IFERROR(X17/V17,0)</f>
        <v>0</v>
      </c>
      <c r="Z17" s="25"/>
      <c r="AA17" s="23"/>
      <c r="AB17" s="24"/>
      <c r="AC17" s="24"/>
      <c r="AD17" s="24">
        <f>AC17-AB17</f>
        <v>0</v>
      </c>
      <c r="AE17" s="24">
        <f>IFERROR(AD17/AB17,0)</f>
        <v>0</v>
      </c>
      <c r="AF17" s="25"/>
      <c r="AG17" s="26"/>
    </row>
    <row r="18" spans="1:33" ht="15.5" x14ac:dyDescent="0.35">
      <c r="A18" s="16">
        <v>451</v>
      </c>
      <c r="B18" s="17" t="s">
        <v>37</v>
      </c>
      <c r="C18" s="18" t="s">
        <v>52</v>
      </c>
      <c r="D18" s="18">
        <v>300105</v>
      </c>
      <c r="E18" s="19" t="s">
        <v>53</v>
      </c>
      <c r="F18" s="20"/>
      <c r="G18" s="21"/>
      <c r="H18" s="22"/>
      <c r="I18" s="23"/>
      <c r="J18" s="24"/>
      <c r="K18" s="24"/>
      <c r="L18" s="24">
        <f t="shared" si="4"/>
        <v>0</v>
      </c>
      <c r="M18" s="24">
        <f t="shared" si="0"/>
        <v>0</v>
      </c>
      <c r="N18" s="25"/>
      <c r="O18" s="23"/>
      <c r="P18" s="24"/>
      <c r="Q18" s="24"/>
      <c r="R18" s="24">
        <f t="shared" si="5"/>
        <v>0</v>
      </c>
      <c r="S18" s="24">
        <f t="shared" si="1"/>
        <v>0</v>
      </c>
      <c r="T18" s="25"/>
      <c r="U18" s="23"/>
      <c r="V18" s="24"/>
      <c r="W18" s="24"/>
      <c r="X18" s="24">
        <f t="shared" si="6"/>
        <v>0</v>
      </c>
      <c r="Y18" s="24">
        <f t="shared" si="2"/>
        <v>0</v>
      </c>
      <c r="Z18" s="25"/>
      <c r="AA18" s="23"/>
      <c r="AB18" s="24"/>
      <c r="AC18" s="24"/>
      <c r="AD18" s="24">
        <f t="shared" si="7"/>
        <v>0</v>
      </c>
      <c r="AE18" s="24">
        <f t="shared" si="3"/>
        <v>0</v>
      </c>
      <c r="AF18" s="25"/>
      <c r="AG18" s="24"/>
    </row>
    <row r="19" spans="1:33" ht="15.5" x14ac:dyDescent="0.35">
      <c r="A19" s="16">
        <v>451</v>
      </c>
      <c r="B19" s="17" t="s">
        <v>37</v>
      </c>
      <c r="C19" s="18" t="s">
        <v>52</v>
      </c>
      <c r="D19" s="18">
        <v>301439</v>
      </c>
      <c r="E19" s="19" t="s">
        <v>54</v>
      </c>
      <c r="F19" s="20"/>
      <c r="G19" s="21"/>
      <c r="H19" s="22"/>
      <c r="I19" s="23"/>
      <c r="J19" s="24"/>
      <c r="K19" s="24"/>
      <c r="L19" s="24">
        <f t="shared" si="4"/>
        <v>0</v>
      </c>
      <c r="M19" s="24">
        <f t="shared" si="0"/>
        <v>0</v>
      </c>
      <c r="N19" s="25"/>
      <c r="O19" s="23"/>
      <c r="P19" s="24"/>
      <c r="Q19" s="24"/>
      <c r="R19" s="24">
        <f t="shared" si="5"/>
        <v>0</v>
      </c>
      <c r="S19" s="24">
        <f t="shared" si="1"/>
        <v>0</v>
      </c>
      <c r="T19" s="25"/>
      <c r="U19" s="23"/>
      <c r="V19" s="24"/>
      <c r="W19" s="24"/>
      <c r="X19" s="24">
        <f t="shared" si="6"/>
        <v>0</v>
      </c>
      <c r="Y19" s="24">
        <f t="shared" si="2"/>
        <v>0</v>
      </c>
      <c r="Z19" s="25"/>
      <c r="AA19" s="23"/>
      <c r="AB19" s="24"/>
      <c r="AC19" s="24"/>
      <c r="AD19" s="24">
        <f t="shared" si="7"/>
        <v>0</v>
      </c>
      <c r="AE19" s="24">
        <f t="shared" si="3"/>
        <v>0</v>
      </c>
      <c r="AF19" s="25"/>
      <c r="AG19" s="26"/>
    </row>
    <row r="20" spans="1:33" ht="15.5" x14ac:dyDescent="0.35">
      <c r="A20" s="16">
        <v>451</v>
      </c>
      <c r="B20" s="17" t="s">
        <v>37</v>
      </c>
      <c r="C20" s="18" t="s">
        <v>55</v>
      </c>
      <c r="D20" s="18">
        <v>402025</v>
      </c>
      <c r="E20" s="19" t="s">
        <v>56</v>
      </c>
      <c r="F20" s="20"/>
      <c r="G20" s="21"/>
      <c r="H20" s="22"/>
      <c r="I20" s="23"/>
      <c r="J20" s="24"/>
      <c r="K20" s="24"/>
      <c r="L20" s="24">
        <f t="shared" si="4"/>
        <v>0</v>
      </c>
      <c r="M20" s="24">
        <f t="shared" si="0"/>
        <v>0</v>
      </c>
      <c r="N20" s="25"/>
      <c r="O20" s="23"/>
      <c r="P20" s="24"/>
      <c r="Q20" s="24"/>
      <c r="R20" s="24">
        <f t="shared" si="5"/>
        <v>0</v>
      </c>
      <c r="S20" s="24">
        <f t="shared" si="1"/>
        <v>0</v>
      </c>
      <c r="T20" s="25"/>
      <c r="U20" s="23"/>
      <c r="V20" s="24"/>
      <c r="W20" s="24"/>
      <c r="X20" s="24">
        <f t="shared" si="6"/>
        <v>0</v>
      </c>
      <c r="Y20" s="24">
        <f t="shared" si="2"/>
        <v>0</v>
      </c>
      <c r="Z20" s="25"/>
      <c r="AA20" s="23"/>
      <c r="AB20" s="24"/>
      <c r="AC20" s="24"/>
      <c r="AD20" s="24">
        <f t="shared" si="7"/>
        <v>0</v>
      </c>
      <c r="AE20" s="24">
        <f t="shared" si="3"/>
        <v>0</v>
      </c>
      <c r="AF20" s="25"/>
      <c r="AG20" s="24"/>
    </row>
    <row r="21" spans="1:33" ht="15.5" x14ac:dyDescent="0.35">
      <c r="A21" s="16">
        <v>451</v>
      </c>
      <c r="B21" s="17" t="s">
        <v>37</v>
      </c>
      <c r="C21" s="18" t="s">
        <v>55</v>
      </c>
      <c r="D21" s="18">
        <v>402066</v>
      </c>
      <c r="E21" s="19" t="s">
        <v>57</v>
      </c>
      <c r="F21" s="20"/>
      <c r="G21" s="21"/>
      <c r="H21" s="22"/>
      <c r="I21" s="23"/>
      <c r="J21" s="24"/>
      <c r="K21" s="24"/>
      <c r="L21" s="24">
        <f t="shared" si="4"/>
        <v>0</v>
      </c>
      <c r="M21" s="24">
        <f t="shared" si="0"/>
        <v>0</v>
      </c>
      <c r="N21" s="25"/>
      <c r="O21" s="23"/>
      <c r="P21" s="24"/>
      <c r="Q21" s="24"/>
      <c r="R21" s="24">
        <f t="shared" si="5"/>
        <v>0</v>
      </c>
      <c r="S21" s="24">
        <f t="shared" si="1"/>
        <v>0</v>
      </c>
      <c r="T21" s="25"/>
      <c r="U21" s="23"/>
      <c r="V21" s="24"/>
      <c r="W21" s="24"/>
      <c r="X21" s="24">
        <f t="shared" si="6"/>
        <v>0</v>
      </c>
      <c r="Y21" s="24">
        <f t="shared" si="2"/>
        <v>0</v>
      </c>
      <c r="Z21" s="25"/>
      <c r="AA21" s="23"/>
      <c r="AB21" s="24"/>
      <c r="AC21" s="24"/>
      <c r="AD21" s="24">
        <f t="shared" si="7"/>
        <v>0</v>
      </c>
      <c r="AE21" s="24">
        <f t="shared" si="3"/>
        <v>0</v>
      </c>
      <c r="AF21" s="25"/>
      <c r="AG21" s="24"/>
    </row>
    <row r="22" spans="1:33" ht="15.5" x14ac:dyDescent="0.35">
      <c r="A22" s="16">
        <v>451</v>
      </c>
      <c r="B22" s="17" t="s">
        <v>37</v>
      </c>
      <c r="C22" s="18" t="s">
        <v>58</v>
      </c>
      <c r="D22" s="18">
        <v>502026</v>
      </c>
      <c r="E22" s="19" t="s">
        <v>59</v>
      </c>
      <c r="F22" s="20"/>
      <c r="G22" s="21"/>
      <c r="H22" s="22"/>
      <c r="I22" s="23"/>
      <c r="J22" s="24"/>
      <c r="K22" s="24"/>
      <c r="L22" s="24">
        <f t="shared" si="4"/>
        <v>0</v>
      </c>
      <c r="M22" s="24">
        <f t="shared" si="0"/>
        <v>0</v>
      </c>
      <c r="N22" s="25"/>
      <c r="O22" s="23"/>
      <c r="P22" s="24"/>
      <c r="Q22" s="24"/>
      <c r="R22" s="24">
        <f t="shared" si="5"/>
        <v>0</v>
      </c>
      <c r="S22" s="24">
        <f t="shared" si="1"/>
        <v>0</v>
      </c>
      <c r="T22" s="25"/>
      <c r="U22" s="23"/>
      <c r="V22" s="24"/>
      <c r="W22" s="24"/>
      <c r="X22" s="24">
        <f t="shared" si="6"/>
        <v>0</v>
      </c>
      <c r="Y22" s="24">
        <f t="shared" si="2"/>
        <v>0</v>
      </c>
      <c r="Z22" s="25"/>
      <c r="AA22" s="23"/>
      <c r="AB22" s="24"/>
      <c r="AC22" s="24"/>
      <c r="AD22" s="24">
        <f t="shared" si="7"/>
        <v>0</v>
      </c>
      <c r="AE22" s="24">
        <f t="shared" si="3"/>
        <v>0</v>
      </c>
      <c r="AF22" s="25"/>
      <c r="AG22" s="27"/>
    </row>
    <row r="23" spans="1:33" ht="15.5" x14ac:dyDescent="0.35">
      <c r="A23" s="16">
        <v>451</v>
      </c>
      <c r="B23" s="17" t="s">
        <v>37</v>
      </c>
      <c r="C23" s="18" t="s">
        <v>58</v>
      </c>
      <c r="D23" s="18">
        <v>502175</v>
      </c>
      <c r="E23" s="19" t="s">
        <v>59</v>
      </c>
      <c r="F23" s="20"/>
      <c r="G23" s="21"/>
      <c r="H23" s="22"/>
      <c r="I23" s="23"/>
      <c r="J23" s="24"/>
      <c r="K23" s="24"/>
      <c r="L23" s="24">
        <f t="shared" si="4"/>
        <v>0</v>
      </c>
      <c r="M23" s="24">
        <f t="shared" si="0"/>
        <v>0</v>
      </c>
      <c r="N23" s="25"/>
      <c r="O23" s="23"/>
      <c r="P23" s="24"/>
      <c r="Q23" s="24"/>
      <c r="R23" s="24">
        <f t="shared" si="5"/>
        <v>0</v>
      </c>
      <c r="S23" s="24">
        <f t="shared" si="1"/>
        <v>0</v>
      </c>
      <c r="T23" s="25"/>
      <c r="U23" s="23"/>
      <c r="V23" s="24"/>
      <c r="W23" s="24"/>
      <c r="X23" s="24">
        <f t="shared" si="6"/>
        <v>0</v>
      </c>
      <c r="Y23" s="24">
        <f t="shared" si="2"/>
        <v>0</v>
      </c>
      <c r="Z23" s="25"/>
      <c r="AA23" s="23"/>
      <c r="AB23" s="24"/>
      <c r="AC23" s="24"/>
      <c r="AD23" s="24">
        <f t="shared" si="7"/>
        <v>0</v>
      </c>
      <c r="AE23" s="24">
        <f t="shared" si="3"/>
        <v>0</v>
      </c>
      <c r="AF23" s="25"/>
      <c r="AG23" s="28"/>
    </row>
    <row r="25" spans="1:33" x14ac:dyDescent="0.35">
      <c r="H25" s="29"/>
    </row>
    <row r="30" spans="1:33" x14ac:dyDescent="0.35">
      <c r="H30" s="29"/>
    </row>
    <row r="31" spans="1:33" x14ac:dyDescent="0.35">
      <c r="H31" s="29"/>
    </row>
    <row r="32" spans="1:33" x14ac:dyDescent="0.35">
      <c r="H32" s="29"/>
    </row>
    <row r="33" spans="8:8" x14ac:dyDescent="0.35">
      <c r="H33" s="29"/>
    </row>
    <row r="34" spans="8:8" x14ac:dyDescent="0.35">
      <c r="H34" s="29"/>
    </row>
    <row r="35" spans="8:8" x14ac:dyDescent="0.35">
      <c r="H35" s="29"/>
    </row>
    <row r="36" spans="8:8" x14ac:dyDescent="0.35">
      <c r="H36" s="29"/>
    </row>
    <row r="37" spans="8:8" x14ac:dyDescent="0.35">
      <c r="H37" s="29"/>
    </row>
    <row r="38" spans="8:8" x14ac:dyDescent="0.35">
      <c r="H38" s="29"/>
    </row>
    <row r="39" spans="8:8" x14ac:dyDescent="0.35">
      <c r="H39" s="29"/>
    </row>
    <row r="40" spans="8:8" x14ac:dyDescent="0.35">
      <c r="H40" s="29"/>
    </row>
    <row r="41" spans="8:8" x14ac:dyDescent="0.35">
      <c r="H41" s="29"/>
    </row>
    <row r="42" spans="8:8" x14ac:dyDescent="0.35">
      <c r="H42" s="29"/>
    </row>
    <row r="43" spans="8:8" x14ac:dyDescent="0.35">
      <c r="H43" s="29"/>
    </row>
    <row r="44" spans="8:8" x14ac:dyDescent="0.35">
      <c r="H44" s="29"/>
    </row>
    <row r="45" spans="8:8" x14ac:dyDescent="0.35">
      <c r="H45" s="29"/>
    </row>
    <row r="46" spans="8:8" x14ac:dyDescent="0.35">
      <c r="H46" s="2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performance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khadiga Hany</dc:creator>
  <cp:lastModifiedBy>khadiga Hany</cp:lastModifiedBy>
  <dcterms:created xsi:type="dcterms:W3CDTF">2026-07-29T19:23:30Z</dcterms:created>
  <dcterms:modified xsi:type="dcterms:W3CDTF">2026-07-29T19:24:16Z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